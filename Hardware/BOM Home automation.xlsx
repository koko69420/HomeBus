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Sheet1" sheetId="1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<sst xmlns="http://schemas.openxmlformats.org/spreadsheetml/2006/main" count="184" uniqueCount="184">
  <si>
    <t xml:space="preserve">Component Name</t>
  </si>
  <si>
    <t xml:space="preserve">Listing </t>
  </si>
  <si>
    <t>Price</t>
  </si>
  <si>
    <t xml:space="preserve">Product Description</t>
  </si>
  <si>
    <t>Quantity</t>
  </si>
  <si>
    <t xml:space="preserve">Initial Quantity</t>
  </si>
  <si>
    <t>URL</t>
  </si>
  <si>
    <t xml:space="preserve">Alternate URL</t>
  </si>
  <si>
    <t>Total</t>
  </si>
  <si>
    <t xml:space="preserve">Initial Total</t>
  </si>
  <si>
    <t>CH32X033F8P6</t>
  </si>
  <si>
    <t xml:space="preserve">CH32X033F8P6 TSSOP-20 WCH RISC-V Microcontrollers A2047</t>
  </si>
  <si>
    <t>MCU</t>
  </si>
  <si>
    <t>https://www.etstore.in/products/a2047?variant=46807856611579&amp;country=IN&amp;currency=INR</t>
  </si>
  <si>
    <t>MAX491</t>
  </si>
  <si>
    <t xml:space="preserve">MAX491 MAX491CSD MAX491ESD SOP-14 Transceiver IC</t>
  </si>
  <si>
    <t xml:space="preserve">RS422 Transciver</t>
  </si>
  <si>
    <t>https://inkocean.in/products/max491-max491csd-max491esd-sop-14-transceiver-ic?variant=20106335191158</t>
  </si>
  <si>
    <t xml:space="preserve">WS2812B-1010 NeoPixel</t>
  </si>
  <si>
    <t xml:space="preserve">WS2812B SMD1010 Addressable RGB LED – Neopixel LED</t>
  </si>
  <si>
    <t xml:space="preserve">Indicator LED</t>
  </si>
  <si>
    <t>https://quartzcomponents.com/products/ws2812b-smd1010-addressable-rgb-led-neopixel-led?variant=45039229436138&amp;country=IN&amp;currency=INR</t>
  </si>
  <si>
    <t xml:space="preserve">8 Pin DIP Switch</t>
  </si>
  <si>
    <t xml:space="preserve">8 Way DIP Switch 2.54mm Pitch Slide ET8011</t>
  </si>
  <si>
    <t xml:space="preserve">DIP Switch 8 channel</t>
  </si>
  <si>
    <t>https://www.etstore.in/products/b8011?_pos=1&amp;_sid=518f04376&amp;_ss=r</t>
  </si>
  <si>
    <t>https://roboticsdna.in/product/8-way-dip-switch/</t>
  </si>
  <si>
    <t>74HC165D</t>
  </si>
  <si>
    <t xml:space="preserve">74HC165 74HC165D SOP-16 high Speed CMOS logic devices</t>
  </si>
  <si>
    <t xml:space="preserve">Shift Register PISO</t>
  </si>
  <si>
    <t>https://inkocean.in/products/74hc165-74hc165d-sop-16-high-speed-cmos-logic-devices-shift-register</t>
  </si>
  <si>
    <t>MP1548</t>
  </si>
  <si>
    <t xml:space="preserve">DC-DC MP1584EN 3A Step Down Power Supply Module</t>
  </si>
  <si>
    <t xml:space="preserve">Buck Converter 24-5vdc</t>
  </si>
  <si>
    <t>https://robokits.co.in/power-supply/dc-dc-power-supply/mini-mp1584-dc-dc-step-down-4.5-to-28v-3a-adjustable-buck-module</t>
  </si>
  <si>
    <t>https://ifuturetech.org/product/dc-dc-mp1584en-3a-step-down-power-supply-module/</t>
  </si>
  <si>
    <t>SM712</t>
  </si>
  <si>
    <t xml:space="preserve">PSM712-ES Bidirectional TVS diode SOT23 17A 712 7V 12V SM712 350W ET7127</t>
  </si>
  <si>
    <t>TVS</t>
  </si>
  <si>
    <t>https://www.etstore.in/products/g7127?_pos=1&amp;_sid=1c3b00ca3&amp;_ss=r</t>
  </si>
  <si>
    <t>H11AA1</t>
  </si>
  <si>
    <t xml:space="preserve">H11AA1 Transistor Output Optocoupler IC DIP-6 Package</t>
  </si>
  <si>
    <t>Optocoupler</t>
  </si>
  <si>
    <t>https://www.electropi.in/h11aa1-transistor-output-optocoupler-ic</t>
  </si>
  <si>
    <t>HCPL3120</t>
  </si>
  <si>
    <t xml:space="preserve">HCPL3120 HCPL-3120 A3120 SOP optocouplers</t>
  </si>
  <si>
    <t xml:space="preserve">MOSFET Optocoupler</t>
  </si>
  <si>
    <t>https://inkocean.in/products/hcpl3120-hcpl-3120-a3120-sop-optocouplers?variant=20118471901302&amp;country=IN&amp;currency=INR</t>
  </si>
  <si>
    <t>B2415S-1W</t>
  </si>
  <si>
    <t xml:space="preserve">Hi-Link B2415S-1WR3 – 24VDC to 15VDC 67mA DC To DC Converter Power Module – SIP-4 Package</t>
  </si>
  <si>
    <t xml:space="preserve">DC-DC Isolator 24v-15v</t>
  </si>
  <si>
    <t>https://sharvielectronics.com/product/hi-link-b2415s-1wr3-24vdc-to-15vdc-67ma-dc-to-dc-converter-power-module-sip-4-package/</t>
  </si>
  <si>
    <t>KIA7N65H</t>
  </si>
  <si>
    <t xml:space="preserve">KIA7N65H 650V 7A N-Channel Mosfet – TO-220F Package</t>
  </si>
  <si>
    <t xml:space="preserve">AC Switching MOSFET</t>
  </si>
  <si>
    <t>https://sharvielectronics.com/product/kia7n65h-650v-7a-n-channel-mosfet-to-220f-package/</t>
  </si>
  <si>
    <t xml:space="preserve">EC11 Rotary Encoder</t>
  </si>
  <si>
    <t xml:space="preserve">Rotary Encoder EC11 20mm Knurled Handle 20 Positions</t>
  </si>
  <si>
    <t xml:space="preserve">Rotary Encoder with push button</t>
  </si>
  <si>
    <t>https://ifuturetech.org/product/ec11-potentiometer-encoder-switch/</t>
  </si>
  <si>
    <t xml:space="preserve">Knob Metal</t>
  </si>
  <si>
    <t xml:space="preserve">GOLD ALUMINIUM ALLOY POTENTIOMETER KNOB CAP</t>
  </si>
  <si>
    <t xml:space="preserve">Metal knob for Rotary Encoder</t>
  </si>
  <si>
    <t>https://ifuturetech.org/product/gold-aluminium-alloy-potentiometer-knob-cap/</t>
  </si>
  <si>
    <t>INA226</t>
  </si>
  <si>
    <t xml:space="preserve">NA226 IIC Interface Bidirectional Current Power Monitoring Sensor</t>
  </si>
  <si>
    <t xml:space="preserve">Current sensor based on shunt resisor</t>
  </si>
  <si>
    <t>https://www.flyrobo.in/na226-iic-interface-bidirectional-current-power-monitoring-sensor?tracking=ads</t>
  </si>
  <si>
    <t>https://www.xcluma.com/ina226-bi-directional-current-and-power-monitor-module-high-side-or-low-side-measurement-with-iic-compatible-0v-to-36v</t>
  </si>
  <si>
    <t xml:space="preserve">100A / 75mV  Shunt Resistor</t>
  </si>
  <si>
    <t xml:space="preserve">XIQI Electric CG FL-2B 100A 75mV DC Current Shunt Resister</t>
  </si>
  <si>
    <t xml:space="preserve">Shunt Resistor</t>
  </si>
  <si>
    <t>https://robu.in/product/cg-fl-2b-100a-75mv/</t>
  </si>
  <si>
    <t>BME680</t>
  </si>
  <si>
    <t xml:space="preserve">BME680 Digital Humidity Temperature Pressure High Altitude Sensor Module</t>
  </si>
  <si>
    <t xml:space="preserve">4 in 1 weather sensor: Baramoter, Temperature, Humidity, VOC</t>
  </si>
  <si>
    <t>https://robocraze.com/products/bme680-temperature-sensor-module?variant=40193794211993&amp;country=IN&amp;currency=INR</t>
  </si>
  <si>
    <t>BH1750</t>
  </si>
  <si>
    <t xml:space="preserve">GY-302 BH1750 Light Intensity Module</t>
  </si>
  <si>
    <t xml:space="preserve">LUX Meter</t>
  </si>
  <si>
    <t>https://www.theengineerstore.in/products/gy-302-bh1750-light-intensity-module?variant=43773786882211&amp;country=IN&amp;currency=INR</t>
  </si>
  <si>
    <t>HLK-LD2420</t>
  </si>
  <si>
    <t xml:space="preserve">HLK-LD2420 24GHz Human Micro Motion Radar Module</t>
  </si>
  <si>
    <t xml:space="preserve">24GHz Presence Sensor</t>
  </si>
  <si>
    <t>https://quartzcomponents.com/products/hlk-ld2420-24ghz-human-micro-motion-radar-module?variant=44900687577322&amp;country=IN&amp;currency=INR</t>
  </si>
  <si>
    <t>HLK-LD2402</t>
  </si>
  <si>
    <t xml:space="preserve">Hi-Link HLK-LD2402G-W, 24GHz, Millimeter-Wave Motion Sensor,3.3V/5V, 50 mA, ±60° Coverage, Detection Range: 10m</t>
  </si>
  <si>
    <t>https://robu.in/product/hi-link-hlk-ld2402g-w-24ghz-millimeter-wave/</t>
  </si>
  <si>
    <t xml:space="preserve">4 Channel Relay Module with Optocoupler 5v</t>
  </si>
  <si>
    <t xml:space="preserve">5v 4 Channel Relay Module</t>
  </si>
  <si>
    <t xml:space="preserve">5v 4ch relay module with optocoupler</t>
  </si>
  <si>
    <t>https://www.flyrobo.in/5v_four_channel_relay_module?tracking=ads</t>
  </si>
  <si>
    <t>GL5528</t>
  </si>
  <si>
    <t xml:space="preserve">GL5528 5mm LDR Sensor Photoresistor Photo Cell 10-20K</t>
  </si>
  <si>
    <t xml:space="preserve">LDR 5mm</t>
  </si>
  <si>
    <t>https://ifuturetech.org/product/gl5528-5mm-ldr-sensor-photoresistor-photo-cell-10-20k/</t>
  </si>
  <si>
    <t xml:space="preserve">8 Channel Relay Module with Optocoupler 5v</t>
  </si>
  <si>
    <t xml:space="preserve">5V 8-Channel Optocoupler Relay Board Module</t>
  </si>
  <si>
    <t xml:space="preserve">5v 8ch relay module with optocoupler</t>
  </si>
  <si>
    <t>https://techtonics.in/product/5v-8-channel-optocoupler-relay-board-module/</t>
  </si>
  <si>
    <t xml:space="preserve">2 Channel Relay Module with Optocoupler 5v</t>
  </si>
  <si>
    <t xml:space="preserve">5V Dual Channel Relay Module with Optocoupler Isolation</t>
  </si>
  <si>
    <t xml:space="preserve">5v 2ch relay module with optocoupler</t>
  </si>
  <si>
    <t>https://techtonics.in/product/5v-10a-dual-channel-opto-coupler-relay-module/</t>
  </si>
  <si>
    <t xml:space="preserve">1 Channel Relay Module with Optocoupler 5v</t>
  </si>
  <si>
    <t xml:space="preserve">ADIY 1 Channel 5V Relay Module with Optocoupler for Arduino</t>
  </si>
  <si>
    <t xml:space="preserve">5v 1ch relay module with optocoupler</t>
  </si>
  <si>
    <t>https://robocraze.com/products/adiy-1-channel-5v-relay-module-with-optocoupler-isolation-for-arduino?variant=51567354052832&amp;country=IN&amp;currency=INR</t>
  </si>
  <si>
    <t xml:space="preserve">Rain sensor</t>
  </si>
  <si>
    <t xml:space="preserve">Rain Sensitive Sensor Module Drop Detection Sensor ET5199</t>
  </si>
  <si>
    <t xml:space="preserve">Resistive Rain sensor</t>
  </si>
  <si>
    <t>https://www.etstore.in/products/c5199?_pos=1&amp;_sid=f26be2f94&amp;_ss=r</t>
  </si>
  <si>
    <t>https://quartzcomponents.com/products/rain-drop-sensor-module?variant=31897781534855&amp;country=IN&amp;currency=INR</t>
  </si>
  <si>
    <t>INA180A2IDBVR</t>
  </si>
  <si>
    <t xml:space="preserve">INA180A2IDBVR SOT-23-5 TI Current Sense Amplifiers TI A2052</t>
  </si>
  <si>
    <t xml:space="preserve">Current Sense Amplifier</t>
  </si>
  <si>
    <t>https://www.etstore.in/products/a2052?variant=46808199954683&amp;country=IN&amp;currency=INR</t>
  </si>
  <si>
    <t xml:space="preserve">24V 5A SMPS</t>
  </si>
  <si>
    <t xml:space="preserve">24V 5A SMPS Power Supply</t>
  </si>
  <si>
    <t xml:space="preserve">24v 5a Power Supply</t>
  </si>
  <si>
    <t>https://www.theengineerstore.in/products/24v-5a-smps-power-supply?variant=43773847109795&amp;country=IN&amp;currency=INR</t>
  </si>
  <si>
    <t>https://www.amazon.in/Electronic-Spices-24V-5A-SMPS/dp/B09H4NZ747</t>
  </si>
  <si>
    <t xml:space="preserve">RSIC-V Programmer</t>
  </si>
  <si>
    <t>WCH-LinkE-R0-1v3.FP</t>
  </si>
  <si>
    <t xml:space="preserve">Programmer required to program the CH32X033</t>
  </si>
  <si>
    <t>https://www.makestore.in/product/ch32v003-wch-linke-debugger-programmer/</t>
  </si>
  <si>
    <t>https://punoscho.in/product/linke-wch-linke-r0-1v3-programming-module-stick/</t>
  </si>
  <si>
    <t xml:space="preserve">100nF 0603</t>
  </si>
  <si>
    <t xml:space="preserve">100NF 50V 0603 SMD Ceramic Capacitor 104 10% walsin X7R ET9251</t>
  </si>
  <si>
    <t xml:space="preserve">Decoupling Capacitor</t>
  </si>
  <si>
    <t>https://www.etstore.in/products/e9251?variant=46786360672507&amp;country=IN&amp;currency=INR</t>
  </si>
  <si>
    <t xml:space="preserve">10uF X5R/X7R</t>
  </si>
  <si>
    <t xml:space="preserve">10uF 6.3V SAMSUNG CL10A106MQ8NNNC X5R 10% 0603 MLCC SMD SMT ET7920</t>
  </si>
  <si>
    <t xml:space="preserve">Bulk Capacitance</t>
  </si>
  <si>
    <t>https://www.etstore.in/products/g7920?_pos=4&amp;_sid=9dae4c250&amp;_ss=r</t>
  </si>
  <si>
    <t xml:space="preserve">10k Resistor Network</t>
  </si>
  <si>
    <t xml:space="preserve">A09-103JP 10K OHM 9 PIN Network Resistor 1/8W 5% ET10164</t>
  </si>
  <si>
    <t xml:space="preserve">Pull-up Resistor Network</t>
  </si>
  <si>
    <t>https://www.etstore.in/search?q=10k+Resistor+Network&amp;options%5Bprefix%5D=last</t>
  </si>
  <si>
    <t xml:space="preserve">330Ω Resistor</t>
  </si>
  <si>
    <t xml:space="preserve">330 OHM 0603 SMD RESISTOR 330R 331 1/16W 5% ET9286</t>
  </si>
  <si>
    <t xml:space="preserve">Current limiting resistor for LED</t>
  </si>
  <si>
    <t>https://www.etstore.in/products/e9747?_pos=8&amp;_sid=6137a4221&amp;_ss=r</t>
  </si>
  <si>
    <t xml:space="preserve">100kΩ 1W Resistor</t>
  </si>
  <si>
    <t xml:space="preserve">100K OHM 1W RESISTOR CFR 5% ET10437</t>
  </si>
  <si>
    <t>https://www.etstore.in/products/d10437?_pos=10&amp;_sid=51f39a116&amp;_ss=r</t>
  </si>
  <si>
    <t>AHT21B</t>
  </si>
  <si>
    <t xml:space="preserve">AHT21 High Precision I2C Digital Temperature and Humidity Sensor Module</t>
  </si>
  <si>
    <t xml:space="preserve">Temperature and Humidity Sensor</t>
  </si>
  <si>
    <t>https://ifuturetech.org/product/aht21-high-precision-i2c-digital-temperature-and-humidity-sensor-module/</t>
  </si>
  <si>
    <t xml:space="preserve">240vac Toggle Switch</t>
  </si>
  <si>
    <t xml:space="preserve">3 Pin Toggle Switch (3A 230V)</t>
  </si>
  <si>
    <t xml:space="preserve">Toggle Switch for smart light hard switching</t>
  </si>
  <si>
    <t>https://www.theengineerstore.in/products/3-pin-toggle-switch-3a-230v?variant=43773686513827&amp;country=IN&amp;currency=INR</t>
  </si>
  <si>
    <t xml:space="preserve">CH340C USB C to TTL</t>
  </si>
  <si>
    <t xml:space="preserve">CH340C USB to TTL Module TYPE-C</t>
  </si>
  <si>
    <t xml:space="preserve">USB to TTL Converter</t>
  </si>
  <si>
    <t>https://ifuturetech.org/product/ch340c-usb-to-ttl-module-type-c/</t>
  </si>
  <si>
    <t xml:space="preserve">TSSOP-20 Holder</t>
  </si>
  <si>
    <t xml:space="preserve">Programming Socket for SSOP20 TSSOP20 to 20pin Breakout with 5.3-5.7mm IC Width and 0.65mm Pitch</t>
  </si>
  <si>
    <t xml:space="preserve">MCU holder for programming</t>
  </si>
  <si>
    <t>https://robokits.co.in/programmers/programming-test-sockets/test-socket-ssop-tssop/programming-socket-for-ssop20-tssop20-to-20pin-breakout-with-5.3-5.7mm-ic-width-and-0.65mm-pitch</t>
  </si>
  <si>
    <t xml:space="preserve">XY2500 connector pair 6 pin</t>
  </si>
  <si>
    <t xml:space="preserve">Xinya XY2500 6 Pin Female Pluggable Terminal - Right Angle &amp; Xinya XY2500 6 Pin Close Type Male Terminal - Pluggable Terminal - Right Angle</t>
  </si>
  <si>
    <t xml:space="preserve">For connecting RS422 Network with 24v </t>
  </si>
  <si>
    <t>https://www.ktron.in/product/xinya-xy2500-6-pin-female-pluggable-terminal/</t>
  </si>
  <si>
    <t>https://www.ktron.in/product/xinya-xy2500-6-pin-close-type-male-terminal/</t>
  </si>
  <si>
    <t xml:space="preserve">20 pin IDC Male Connector</t>
  </si>
  <si>
    <t xml:space="preserve">20 Pin FRC IDC Box Header Right Angle Male 10x2 Pin 2.54mm</t>
  </si>
  <si>
    <t xml:space="preserve">Modular connection connector</t>
  </si>
  <si>
    <t>https://rajivelectronics.com/product/20-pin-frc-idc-box-header-right-angle-male-10x2-pin-2-54mm</t>
  </si>
  <si>
    <t xml:space="preserve">20 pin IDC Socket</t>
  </si>
  <si>
    <t xml:space="preserve">20 Pin FRC/IDC Female Connector 10x2 Pin 2.54mm (Ribbon Cable IDC Connector)</t>
  </si>
  <si>
    <t>https://rajivelectronics.com/product/20-pin-frc-idc-female-connector-10x2-pin-2-54mm-ribbon-cable-idc-connector</t>
  </si>
  <si>
    <t>10D471K</t>
  </si>
  <si>
    <t xml:space="preserve">10D 471K Metal Voltage Dependent Resistor</t>
  </si>
  <si>
    <t>MOV</t>
  </si>
  <si>
    <t>https://ifuturetech.org/product/10d-471k-metal-voltage-dependent-resistor/</t>
  </si>
  <si>
    <t>2010T1A250V</t>
  </si>
  <si>
    <t xml:space="preserve">1A 250V AC rectangular 2010T1A250V Fuse Slow Blow Micro Time Lag type ET8714</t>
  </si>
  <si>
    <t>Fuse</t>
  </si>
  <si>
    <t>https://www.etstore.in/products/b8714?_pos=1&amp;_sid=2fa753249&amp;_ss=r</t>
  </si>
  <si>
    <t xml:space="preserve">CAT5e Cable</t>
  </si>
  <si>
    <t xml:space="preserve">PCB Manufacturing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</si>
</sst>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3">
    <font>
      <sz val="11.000000"/>
      <color theme="1"/>
      <name val="Calibri"/>
      <scheme val="minor"/>
    </font>
    <font>
      <u/>
      <sz val="11.000000"/>
      <color theme="10"/>
      <name val="Calibri"/>
    </font>
    <font>
      <sz val="12.000000"/>
      <name val="Times New Roman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8">
    <xf fontId="0" fillId="0" borderId="0" numFmtId="0" xfId="0"/>
    <xf fontId="0" fillId="0" borderId="0" numFmtId="0" xfId="0" applyAlignment="1">
      <alignment wrapText="1"/>
    </xf>
    <xf fontId="0" fillId="0" borderId="0" numFmtId="0" xfId="0" applyAlignment="1">
      <alignment horizontal="center" wrapText="1"/>
    </xf>
    <xf fontId="0" fillId="0" borderId="0" numFmtId="0" xfId="0" applyAlignment="1">
      <alignment horizontal="center"/>
    </xf>
    <xf fontId="0" fillId="0" borderId="0" numFmtId="0" xfId="0" applyAlignment="1">
      <alignment wrapText="1"/>
    </xf>
    <xf fontId="1" fillId="0" borderId="0" numFmtId="0" xfId="0" applyFont="1" applyAlignment="1">
      <alignment wrapText="1"/>
    </xf>
    <xf fontId="2" fillId="0" borderId="0" numFmtId="0" xfId="0" applyFont="1" applyAlignment="1">
      <alignment horizontal="left" wrapText="1"/>
    </xf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nlyoffice.com/jsaProject" Target="jsaProject.bin"/><Relationship  Id="rId2" Type="http://schemas.openxmlformats.org/officeDocument/2006/relationships/worksheet" Target="worksheets/sheet1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www.etstore.in/products/a2047?variant=46807856611579&amp;country=IN&amp;currency=INR" TargetMode="External"/><Relationship  Id="rId10" Type="http://schemas.openxmlformats.org/officeDocument/2006/relationships/hyperlink" Target="https://www.electropi.in/h11aa1-transistor-output-optocoupler-ic" TargetMode="External"/><Relationship  Id="rId11" Type="http://schemas.openxmlformats.org/officeDocument/2006/relationships/hyperlink" Target="https://inkocean.in/products/hcpl3120-hcpl-3120-a3120-sop-optocouplers?variant=20118471901302&amp;country=IN&amp;currency=INR" TargetMode="External"/><Relationship  Id="rId12" Type="http://schemas.openxmlformats.org/officeDocument/2006/relationships/hyperlink" Target="https://sharvielectronics.com/product/hi-link-b2415s-1wr3-24vdc-to-15vdc-67ma-dc-to-dc-converter-power-module-sip-4-package/" TargetMode="External"/><Relationship  Id="rId13" Type="http://schemas.openxmlformats.org/officeDocument/2006/relationships/hyperlink" Target="https://sharvielectronics.com/product/kia7n65h-650v-7a-n-channel-mosfet-to-220f-package/" TargetMode="External"/><Relationship  Id="rId14" Type="http://schemas.openxmlformats.org/officeDocument/2006/relationships/hyperlink" Target="https://ifuturetech.org/product/ec11-potentiometer-encoder-switch/" TargetMode="External"/><Relationship  Id="rId15" Type="http://schemas.openxmlformats.org/officeDocument/2006/relationships/hyperlink" Target="https://ifuturetech.org/product/gold-aluminium-alloy-potentiometer-knob-cap/" TargetMode="External"/><Relationship  Id="rId16" Type="http://schemas.openxmlformats.org/officeDocument/2006/relationships/hyperlink" Target="https://www.flyrobo.in/na226-iic-interface-bidirectional-current-power-monitoring-sensor?tracking=ads" TargetMode="External"/><Relationship  Id="rId17" Type="http://schemas.openxmlformats.org/officeDocument/2006/relationships/hyperlink" Target="https://www.xcluma.com/ina226-bi-directional-current-and-power-monitor-module-high-side-or-low-side-measurement-with-iic-compatible-0v-to-36v" TargetMode="External"/><Relationship  Id="rId18" Type="http://schemas.openxmlformats.org/officeDocument/2006/relationships/hyperlink" Target="https://robu.in/product/cg-fl-2b-100a-75mv/" TargetMode="External"/><Relationship  Id="rId19" Type="http://schemas.openxmlformats.org/officeDocument/2006/relationships/hyperlink" Target="https://robocraze.com/products/bme680-temperature-sensor-module?variant=40193794211993&amp;country=IN&amp;currency=INR" TargetMode="External"/><Relationship  Id="rId2" Type="http://schemas.openxmlformats.org/officeDocument/2006/relationships/hyperlink" Target="https://inkocean.in/products/max491-max491csd-max491esd-sop-14-transceiver-ic?variant=20106335191158" TargetMode="External"/><Relationship  Id="rId20" Type="http://schemas.openxmlformats.org/officeDocument/2006/relationships/hyperlink" Target="https://www.theengineerstore.in/products/gy-302-bh1750-light-intensity-module?variant=43773786882211&amp;country=IN&amp;currency=INR" TargetMode="External"/><Relationship  Id="rId21" Type="http://schemas.openxmlformats.org/officeDocument/2006/relationships/hyperlink" Target="https://quartzcomponents.com/products/hlk-ld2420-24ghz-human-micro-motion-radar-module?variant=44900687577322&amp;country=IN&amp;currency=INR" TargetMode="External"/><Relationship  Id="rId22" Type="http://schemas.openxmlformats.org/officeDocument/2006/relationships/hyperlink" Target="https://robu.in/product/hi-link-hlk-ld2402g-w-24ghz-millimeter-wave/" TargetMode="External"/><Relationship  Id="rId23" Type="http://schemas.openxmlformats.org/officeDocument/2006/relationships/hyperlink" Target="https://www.flyrobo.in/5v_four_channel_relay_module?tracking=ads" TargetMode="External"/><Relationship  Id="rId24" Type="http://schemas.openxmlformats.org/officeDocument/2006/relationships/hyperlink" Target="https://ifuturetech.org/product/gl5528-5mm-ldr-sensor-photoresistor-photo-cell-10-20k/" TargetMode="External"/><Relationship  Id="rId25" Type="http://schemas.openxmlformats.org/officeDocument/2006/relationships/hyperlink" Target="https://techtonics.in/product/5v-8-channel-optocoupler-relay-board-module/" TargetMode="External"/><Relationship  Id="rId26" Type="http://schemas.openxmlformats.org/officeDocument/2006/relationships/hyperlink" Target="https://techtonics.in/product/5v-10a-dual-channel-opto-coupler-relay-module/" TargetMode="External"/><Relationship  Id="rId27" Type="http://schemas.openxmlformats.org/officeDocument/2006/relationships/hyperlink" Target="https://robocraze.com/products/adiy-1-channel-5v-relay-module-with-optocoupler-isolation-for-arduino?variant=51567354052832&amp;country=IN&amp;currency=INR" TargetMode="External"/><Relationship  Id="rId28" Type="http://schemas.openxmlformats.org/officeDocument/2006/relationships/hyperlink" Target="https://www.etstore.in/products/c5199?_pos=1&amp;_sid=f26be2f94&amp;_ss=r" TargetMode="External"/><Relationship  Id="rId29" Type="http://schemas.openxmlformats.org/officeDocument/2006/relationships/hyperlink" Target="https://quartzcomponents.com/products/rain-drop-sensor-module?variant=31897781534855&amp;country=IN&amp;currency=INR" TargetMode="External"/><Relationship  Id="rId3" Type="http://schemas.openxmlformats.org/officeDocument/2006/relationships/hyperlink" Target="https://quartzcomponents.com/products/ws2812b-smd1010-addressable-rgb-led-neopixel-led?variant=45039229436138&amp;country=IN&amp;currency=INR" TargetMode="External"/><Relationship  Id="rId30" Type="http://schemas.openxmlformats.org/officeDocument/2006/relationships/hyperlink" Target="https://www.etstore.in/products/a2052?variant=46808199954683&amp;country=IN&amp;currency=INR" TargetMode="External"/><Relationship  Id="rId31" Type="http://schemas.openxmlformats.org/officeDocument/2006/relationships/hyperlink" Target="https://www.theengineerstore.in/products/24v-5a-smps-power-supply?variant=43773847109795&amp;country=IN&amp;currency=INR" TargetMode="External"/><Relationship  Id="rId32" Type="http://schemas.openxmlformats.org/officeDocument/2006/relationships/hyperlink" Target="https://www.amazon.in/Electronic-Spices-24V-5A-SMPS/dp/B09H4NZ747" TargetMode="External"/><Relationship  Id="rId33" Type="http://schemas.openxmlformats.org/officeDocument/2006/relationships/hyperlink" Target="https://www.makestore.in/product/ch32v003-wch-linke-debugger-programmer/" TargetMode="External"/><Relationship  Id="rId34" Type="http://schemas.openxmlformats.org/officeDocument/2006/relationships/hyperlink" Target="https://punoscho.in/product/linke-wch-linke-r0-1v3-programming-module-stick/" TargetMode="External"/><Relationship  Id="rId35" Type="http://schemas.openxmlformats.org/officeDocument/2006/relationships/hyperlink" Target="https://www.etstore.in/products/e9251?variant=46786360672507&amp;country=IN&amp;currency=INR" TargetMode="External"/><Relationship  Id="rId36" Type="http://schemas.openxmlformats.org/officeDocument/2006/relationships/hyperlink" Target="https://www.etstore.in/products/g7920?_pos=4&amp;_sid=9dae4c250&amp;_ss=r" TargetMode="External"/><Relationship  Id="rId37" Type="http://schemas.openxmlformats.org/officeDocument/2006/relationships/hyperlink" Target="https://www.etstore.in/search?q=10k+Resistor+Network&amp;options%5Bprefix%5D=last" TargetMode="External"/><Relationship  Id="rId38" Type="http://schemas.openxmlformats.org/officeDocument/2006/relationships/hyperlink" Target="https://www.etstore.in/products/e9747?_pos=8&amp;_sid=6137a4221&amp;_ss=r" TargetMode="External"/><Relationship  Id="rId39" Type="http://schemas.openxmlformats.org/officeDocument/2006/relationships/hyperlink" Target="https://www.etstore.in/products/d10437?_pos=10&amp;_sid=51f39a116&amp;_ss=r" TargetMode="External"/><Relationship  Id="rId4" Type="http://schemas.openxmlformats.org/officeDocument/2006/relationships/hyperlink" Target="https://www.etstore.in/products/b8011?_pos=1&amp;_sid=518f04376&amp;_ss=r" TargetMode="External"/><Relationship  Id="rId40" Type="http://schemas.openxmlformats.org/officeDocument/2006/relationships/hyperlink" Target="https://ifuturetech.org/product/aht21-high-precision-i2c-digital-temperature-and-humidity-sensor-module/" TargetMode="External"/><Relationship  Id="rId41" Type="http://schemas.openxmlformats.org/officeDocument/2006/relationships/hyperlink" Target="https://www.theengineerstore.in/products/3-pin-toggle-switch-3a-230v?variant=43773686513827&amp;country=IN&amp;currency=INR" TargetMode="External"/><Relationship  Id="rId42" Type="http://schemas.openxmlformats.org/officeDocument/2006/relationships/hyperlink" Target="https://ifuturetech.org/product/ch340c-usb-to-ttl-module-type-c/" TargetMode="External"/><Relationship  Id="rId43" Type="http://schemas.openxmlformats.org/officeDocument/2006/relationships/hyperlink" Target="https://robokits.co.in/programmers/programming-test-sockets/test-socket-ssop-tssop/programming-socket-for-ssop20-tssop20-to-20pin-breakout-with-5.3-5.7mm-ic-width-and-0.65mm-pitch" TargetMode="External"/><Relationship  Id="rId44" Type="http://schemas.openxmlformats.org/officeDocument/2006/relationships/hyperlink" Target="https://www.ktron.in/product/xinya-xy2500-6-pin-female-pluggable-terminal/" TargetMode="External"/><Relationship  Id="rId45" Type="http://schemas.openxmlformats.org/officeDocument/2006/relationships/hyperlink" Target="https://www.ktron.in/product/xinya-xy2500-6-pin-close-type-male-terminal/" TargetMode="External"/><Relationship  Id="rId46" Type="http://schemas.openxmlformats.org/officeDocument/2006/relationships/hyperlink" Target="https://rajivelectronics.com/product/20-pin-frc-idc-box-header-right-angle-male-10x2-pin-2-54mm" TargetMode="External"/><Relationship  Id="rId47" Type="http://schemas.openxmlformats.org/officeDocument/2006/relationships/hyperlink" Target="https://rajivelectronics.com/product/20-pin-frc-idc-female-connector-10x2-pin-2-54mm-ribbon-cable-idc-connector" TargetMode="External"/><Relationship  Id="rId48" Type="http://schemas.openxmlformats.org/officeDocument/2006/relationships/hyperlink" Target="https://ifuturetech.org/product/10d-471k-metal-voltage-dependent-resistor/" TargetMode="External"/><Relationship  Id="rId49" Type="http://schemas.openxmlformats.org/officeDocument/2006/relationships/hyperlink" Target="https://www.etstore.in/products/b8714?_pos=1&amp;_sid=2fa753249&amp;_ss=r" TargetMode="External"/><Relationship  Id="rId5" Type="http://schemas.openxmlformats.org/officeDocument/2006/relationships/hyperlink" Target="https://roboticsdna.in/product/8-way-dip-switch/" TargetMode="External"/><Relationship  Id="rId6" Type="http://schemas.openxmlformats.org/officeDocument/2006/relationships/hyperlink" Target="https://inkocean.in/products/74hc165-74hc165d-sop-16-high-speed-cmos-logic-devices-shift-register" TargetMode="External"/><Relationship  Id="rId7" Type="http://schemas.openxmlformats.org/officeDocument/2006/relationships/hyperlink" Target="https://robokits.co.in/power-supply/dc-dc-power-supply/mini-mp1584-dc-dc-step-down-4.5-to-28v-3a-adjustable-buck-module" TargetMode="External"/><Relationship  Id="rId8" Type="http://schemas.openxmlformats.org/officeDocument/2006/relationships/hyperlink" Target="https://ifuturetech.org/product/dc-dc-mp1584en-3a-step-down-power-supply-module/" TargetMode="External"/><Relationship  Id="rId9" Type="http://schemas.openxmlformats.org/officeDocument/2006/relationships/hyperlink" Target="https://www.etstore.in/products/g7127?_pos=1&amp;_sid=1c3b00ca3&amp;_ss=r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topLeftCell="A35" zoomScale="100" workbookViewId="0">
      <selection activeCell="A1" activeCellId="0" sqref="A1"/>
    </sheetView>
  </sheetViews>
  <sheetFormatPr defaultRowHeight="14.25"/>
  <cols>
    <col customWidth="1" min="1" max="1" style="1" width="15.8515625"/>
    <col customWidth="1" min="2" max="2" style="1" width="20.421875"/>
    <col customWidth="1" min="3" max="3" style="1" width="7.140625"/>
    <col customWidth="1" min="4" max="6" style="1" width="15.8515625"/>
    <col customWidth="1" min="7" max="8" style="1" width="26.57421875"/>
    <col bestFit="1" min="10" max="10" width="10.3125"/>
  </cols>
  <sheetData>
    <row r="1" ht="28.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3" t="s">
        <v>8</v>
      </c>
      <c r="J1" t="s">
        <v>9</v>
      </c>
    </row>
    <row r="2" ht="57">
      <c r="A2" s="4" t="s">
        <v>10</v>
      </c>
      <c r="B2" s="1" t="s">
        <v>11</v>
      </c>
      <c r="C2" s="1">
        <v>36</v>
      </c>
      <c r="D2" s="1" t="s">
        <v>12</v>
      </c>
      <c r="E2" s="1">
        <v>41</v>
      </c>
      <c r="F2" s="1">
        <v>6</v>
      </c>
      <c r="G2" s="5" t="s">
        <v>13</v>
      </c>
      <c r="H2" s="1"/>
      <c r="I2">
        <f t="shared" ref="I2:I10" si="0">E2*C2</f>
        <v>1476</v>
      </c>
      <c r="J2">
        <f t="shared" ref="J2:J10" si="1">C2*F2</f>
        <v>216</v>
      </c>
    </row>
    <row r="3" ht="57">
      <c r="A3" s="1" t="s">
        <v>14</v>
      </c>
      <c r="B3" s="1" t="s">
        <v>15</v>
      </c>
      <c r="C3" s="1">
        <v>26</v>
      </c>
      <c r="D3" s="1" t="s">
        <v>16</v>
      </c>
      <c r="E3" s="1">
        <v>49</v>
      </c>
      <c r="F3" s="1">
        <v>7</v>
      </c>
      <c r="G3" s="5" t="s">
        <v>17</v>
      </c>
      <c r="H3" s="1"/>
      <c r="I3">
        <f t="shared" si="0"/>
        <v>1274</v>
      </c>
      <c r="J3">
        <f t="shared" si="1"/>
        <v>182</v>
      </c>
    </row>
    <row r="4" ht="92.400000000000006" customHeight="1">
      <c r="A4" s="4" t="s">
        <v>18</v>
      </c>
      <c r="B4" s="6" t="s">
        <v>19</v>
      </c>
      <c r="C4" s="1">
        <v>4</v>
      </c>
      <c r="D4" s="1" t="s">
        <v>20</v>
      </c>
      <c r="E4" s="1">
        <f>E2</f>
        <v>41</v>
      </c>
      <c r="F4" s="1">
        <f>F2</f>
        <v>6</v>
      </c>
      <c r="G4" s="5" t="s">
        <v>21</v>
      </c>
      <c r="H4" s="5"/>
      <c r="I4">
        <f t="shared" si="0"/>
        <v>164</v>
      </c>
      <c r="J4">
        <f t="shared" si="1"/>
        <v>24</v>
      </c>
    </row>
    <row r="5" ht="42.75">
      <c r="A5" s="1" t="s">
        <v>22</v>
      </c>
      <c r="B5" s="1" t="s">
        <v>23</v>
      </c>
      <c r="C5" s="1">
        <v>13</v>
      </c>
      <c r="D5" s="1" t="s">
        <v>24</v>
      </c>
      <c r="E5" s="1">
        <f>E2</f>
        <v>41</v>
      </c>
      <c r="F5" s="1">
        <f>F2</f>
        <v>6</v>
      </c>
      <c r="G5" s="5" t="s">
        <v>25</v>
      </c>
      <c r="H5" s="5" t="s">
        <v>26</v>
      </c>
      <c r="I5">
        <f t="shared" si="0"/>
        <v>533</v>
      </c>
      <c r="J5">
        <f t="shared" si="1"/>
        <v>78</v>
      </c>
    </row>
    <row r="6" ht="60">
      <c r="A6" s="4" t="s">
        <v>27</v>
      </c>
      <c r="B6" s="6" t="s">
        <v>28</v>
      </c>
      <c r="C6" s="1">
        <v>12</v>
      </c>
      <c r="D6" s="1" t="s">
        <v>29</v>
      </c>
      <c r="E6" s="1">
        <f>E5</f>
        <v>41</v>
      </c>
      <c r="F6" s="1">
        <f>F5</f>
        <v>6</v>
      </c>
      <c r="G6" s="5" t="s">
        <v>30</v>
      </c>
      <c r="H6" s="5"/>
      <c r="I6">
        <f t="shared" si="0"/>
        <v>492</v>
      </c>
      <c r="J6">
        <f t="shared" si="1"/>
        <v>72</v>
      </c>
    </row>
    <row r="7" ht="71.25">
      <c r="A7" s="4" t="s">
        <v>31</v>
      </c>
      <c r="B7" s="6" t="s">
        <v>32</v>
      </c>
      <c r="C7" s="1">
        <v>42</v>
      </c>
      <c r="D7" s="1" t="s">
        <v>33</v>
      </c>
      <c r="E7" s="1">
        <f t="shared" ref="E7:E8" si="2">E2</f>
        <v>41</v>
      </c>
      <c r="F7" s="1">
        <f t="shared" ref="F7:F8" si="3">F2</f>
        <v>6</v>
      </c>
      <c r="G7" s="5" t="s">
        <v>34</v>
      </c>
      <c r="H7" s="5" t="s">
        <v>35</v>
      </c>
      <c r="I7">
        <f t="shared" si="0"/>
        <v>1722</v>
      </c>
      <c r="J7">
        <f t="shared" si="1"/>
        <v>252</v>
      </c>
    </row>
    <row r="8" ht="75">
      <c r="A8" s="1" t="s">
        <v>36</v>
      </c>
      <c r="B8" s="6" t="s">
        <v>37</v>
      </c>
      <c r="C8" s="1">
        <v>3</v>
      </c>
      <c r="D8" s="1" t="s">
        <v>38</v>
      </c>
      <c r="E8" s="1">
        <f t="shared" si="2"/>
        <v>49</v>
      </c>
      <c r="F8" s="1">
        <f t="shared" si="3"/>
        <v>7</v>
      </c>
      <c r="G8" s="5" t="s">
        <v>39</v>
      </c>
      <c r="H8" s="1"/>
      <c r="I8">
        <f t="shared" si="0"/>
        <v>147</v>
      </c>
      <c r="J8">
        <f t="shared" si="1"/>
        <v>21</v>
      </c>
    </row>
    <row r="9" ht="42.75">
      <c r="A9" s="4" t="s">
        <v>40</v>
      </c>
      <c r="B9" s="1" t="s">
        <v>41</v>
      </c>
      <c r="C9" s="1">
        <v>40</v>
      </c>
      <c r="D9" s="1" t="s">
        <v>42</v>
      </c>
      <c r="E9" s="1">
        <v>7</v>
      </c>
      <c r="F9" s="1">
        <v>1</v>
      </c>
      <c r="G9" s="5" t="s">
        <v>43</v>
      </c>
      <c r="H9" s="1"/>
      <c r="I9">
        <f t="shared" si="0"/>
        <v>280</v>
      </c>
      <c r="J9">
        <f t="shared" si="1"/>
        <v>40</v>
      </c>
    </row>
    <row r="10" ht="85.5">
      <c r="A10" s="4" t="s">
        <v>44</v>
      </c>
      <c r="B10" s="6" t="s">
        <v>45</v>
      </c>
      <c r="C10" s="1">
        <v>38</v>
      </c>
      <c r="D10" s="1" t="s">
        <v>46</v>
      </c>
      <c r="E10" s="1">
        <v>7</v>
      </c>
      <c r="F10" s="1">
        <v>1</v>
      </c>
      <c r="G10" s="5" t="s">
        <v>47</v>
      </c>
      <c r="H10" s="1"/>
      <c r="I10">
        <f t="shared" si="0"/>
        <v>266</v>
      </c>
      <c r="J10">
        <f t="shared" si="1"/>
        <v>38</v>
      </c>
    </row>
    <row r="11" ht="71.25">
      <c r="A11" s="4" t="s">
        <v>48</v>
      </c>
      <c r="B11" s="1" t="s">
        <v>49</v>
      </c>
      <c r="C11" s="1">
        <v>260</v>
      </c>
      <c r="D11" s="1" t="s">
        <v>50</v>
      </c>
      <c r="E11" s="1">
        <v>7</v>
      </c>
      <c r="F11" s="1">
        <v>1</v>
      </c>
      <c r="G11" s="5" t="s">
        <v>51</v>
      </c>
      <c r="H11" s="1"/>
      <c r="I11">
        <f t="shared" ref="I11:I45" si="4">E11*C11</f>
        <v>1820</v>
      </c>
      <c r="J11">
        <f t="shared" ref="J11:J45" si="5">C11*F11</f>
        <v>260</v>
      </c>
    </row>
    <row r="12" ht="57">
      <c r="A12" s="4" t="s">
        <v>52</v>
      </c>
      <c r="B12" s="1" t="s">
        <v>53</v>
      </c>
      <c r="C12" s="1">
        <v>47</v>
      </c>
      <c r="D12" s="1" t="s">
        <v>54</v>
      </c>
      <c r="E12" s="1">
        <v>14</v>
      </c>
      <c r="F12" s="1">
        <v>2</v>
      </c>
      <c r="G12" s="5" t="s">
        <v>55</v>
      </c>
      <c r="H12" s="1"/>
      <c r="I12">
        <f t="shared" si="4"/>
        <v>658</v>
      </c>
      <c r="J12">
        <f t="shared" si="5"/>
        <v>94</v>
      </c>
    </row>
    <row r="13" ht="42.75">
      <c r="A13" s="1" t="s">
        <v>56</v>
      </c>
      <c r="B13" s="1" t="s">
        <v>57</v>
      </c>
      <c r="C13" s="1">
        <v>49</v>
      </c>
      <c r="D13" s="1" t="s">
        <v>58</v>
      </c>
      <c r="E13" s="1">
        <v>13</v>
      </c>
      <c r="F13" s="1">
        <v>3</v>
      </c>
      <c r="G13" s="5" t="s">
        <v>59</v>
      </c>
      <c r="H13" s="1"/>
      <c r="I13">
        <f t="shared" si="4"/>
        <v>637</v>
      </c>
      <c r="J13">
        <f t="shared" si="5"/>
        <v>147</v>
      </c>
    </row>
    <row r="14" ht="57">
      <c r="A14" s="1" t="s">
        <v>60</v>
      </c>
      <c r="B14" s="1" t="s">
        <v>61</v>
      </c>
      <c r="C14" s="1">
        <v>15</v>
      </c>
      <c r="D14" s="1" t="s">
        <v>62</v>
      </c>
      <c r="E14" s="1">
        <f>E13</f>
        <v>13</v>
      </c>
      <c r="F14" s="1">
        <v>3</v>
      </c>
      <c r="G14" s="5" t="s">
        <v>63</v>
      </c>
      <c r="H14" s="1"/>
      <c r="I14">
        <f t="shared" si="4"/>
        <v>195</v>
      </c>
      <c r="J14">
        <f t="shared" si="5"/>
        <v>45</v>
      </c>
    </row>
    <row r="15" ht="85.5">
      <c r="A15" s="1" t="s">
        <v>64</v>
      </c>
      <c r="B15" s="1" t="s">
        <v>65</v>
      </c>
      <c r="C15" s="1">
        <v>107</v>
      </c>
      <c r="D15" s="1" t="s">
        <v>66</v>
      </c>
      <c r="E15" s="1">
        <v>1</v>
      </c>
      <c r="F15" s="1">
        <v>0</v>
      </c>
      <c r="G15" s="5" t="s">
        <v>67</v>
      </c>
      <c r="H15" s="5" t="s">
        <v>68</v>
      </c>
      <c r="I15">
        <f t="shared" si="4"/>
        <v>107</v>
      </c>
      <c r="J15">
        <f t="shared" si="5"/>
        <v>0</v>
      </c>
    </row>
    <row r="16" ht="42.75">
      <c r="A16" s="1" t="s">
        <v>69</v>
      </c>
      <c r="B16" s="1" t="s">
        <v>70</v>
      </c>
      <c r="C16" s="1">
        <v>307</v>
      </c>
      <c r="D16" s="1" t="s">
        <v>71</v>
      </c>
      <c r="E16" s="1">
        <v>1</v>
      </c>
      <c r="F16" s="1">
        <v>0</v>
      </c>
      <c r="G16" s="5" t="s">
        <v>72</v>
      </c>
      <c r="H16" s="1"/>
      <c r="I16">
        <f t="shared" si="4"/>
        <v>307</v>
      </c>
      <c r="J16">
        <f t="shared" si="5"/>
        <v>0</v>
      </c>
    </row>
    <row r="17" ht="85.5">
      <c r="A17" s="1" t="s">
        <v>73</v>
      </c>
      <c r="B17" s="6" t="s">
        <v>74</v>
      </c>
      <c r="C17" s="1">
        <v>793</v>
      </c>
      <c r="D17" s="1" t="s">
        <v>75</v>
      </c>
      <c r="E17" s="1">
        <v>1</v>
      </c>
      <c r="F17" s="1">
        <v>0</v>
      </c>
      <c r="G17" s="5" t="s">
        <v>76</v>
      </c>
      <c r="H17" s="1"/>
      <c r="I17">
        <f t="shared" si="4"/>
        <v>793</v>
      </c>
      <c r="J17">
        <f t="shared" si="5"/>
        <v>0</v>
      </c>
    </row>
    <row r="18" ht="85.5">
      <c r="A18" s="1" t="s">
        <v>77</v>
      </c>
      <c r="B18" s="1" t="s">
        <v>78</v>
      </c>
      <c r="C18" s="1">
        <v>84</v>
      </c>
      <c r="D18" s="1" t="s">
        <v>79</v>
      </c>
      <c r="E18" s="1">
        <v>1</v>
      </c>
      <c r="F18" s="1">
        <v>0</v>
      </c>
      <c r="G18" s="5" t="s">
        <v>80</v>
      </c>
      <c r="H18" s="1"/>
      <c r="I18">
        <f t="shared" si="4"/>
        <v>84</v>
      </c>
      <c r="J18">
        <f t="shared" si="5"/>
        <v>0</v>
      </c>
    </row>
    <row r="19" ht="85.5">
      <c r="A19" s="1" t="s">
        <v>81</v>
      </c>
      <c r="B19" s="1" t="s">
        <v>82</v>
      </c>
      <c r="C19" s="1">
        <v>262</v>
      </c>
      <c r="D19" s="1" t="s">
        <v>83</v>
      </c>
      <c r="E19" s="1">
        <v>5</v>
      </c>
      <c r="F19" s="1">
        <v>1</v>
      </c>
      <c r="G19" s="5" t="s">
        <v>84</v>
      </c>
      <c r="H19" s="1"/>
      <c r="I19">
        <f t="shared" si="4"/>
        <v>1310</v>
      </c>
      <c r="J19">
        <f t="shared" si="5"/>
        <v>262</v>
      </c>
    </row>
    <row r="20" ht="85.5">
      <c r="A20" s="1" t="s">
        <v>85</v>
      </c>
      <c r="B20" s="1" t="s">
        <v>86</v>
      </c>
      <c r="C20" s="1">
        <v>165</v>
      </c>
      <c r="D20" s="1" t="s">
        <v>83</v>
      </c>
      <c r="E20" s="1">
        <v>6</v>
      </c>
      <c r="F20" s="1">
        <v>1</v>
      </c>
      <c r="G20" s="5" t="s">
        <v>87</v>
      </c>
      <c r="H20" s="1"/>
      <c r="I20">
        <f t="shared" si="4"/>
        <v>990</v>
      </c>
      <c r="J20">
        <f t="shared" si="5"/>
        <v>165</v>
      </c>
    </row>
    <row r="21" ht="42.75">
      <c r="A21" s="1" t="s">
        <v>88</v>
      </c>
      <c r="B21" s="1" t="s">
        <v>89</v>
      </c>
      <c r="C21" s="1">
        <v>146</v>
      </c>
      <c r="D21" s="1" t="s">
        <v>90</v>
      </c>
      <c r="E21" s="1">
        <v>5</v>
      </c>
      <c r="F21" s="1">
        <v>1</v>
      </c>
      <c r="G21" s="5" t="s">
        <v>91</v>
      </c>
      <c r="H21" s="1"/>
      <c r="I21">
        <f t="shared" si="4"/>
        <v>730</v>
      </c>
      <c r="J21">
        <f t="shared" si="5"/>
        <v>146</v>
      </c>
    </row>
    <row r="22" ht="57">
      <c r="A22" s="4" t="s">
        <v>92</v>
      </c>
      <c r="B22" s="6" t="s">
        <v>93</v>
      </c>
      <c r="C22" s="1">
        <v>5</v>
      </c>
      <c r="D22" s="1" t="s">
        <v>94</v>
      </c>
      <c r="E22" s="1">
        <v>5</v>
      </c>
      <c r="F22" s="1">
        <v>1</v>
      </c>
      <c r="G22" s="5" t="s">
        <v>95</v>
      </c>
      <c r="H22" s="1"/>
      <c r="I22">
        <f t="shared" si="4"/>
        <v>25</v>
      </c>
      <c r="J22">
        <f t="shared" si="5"/>
        <v>5</v>
      </c>
    </row>
    <row r="23" ht="45">
      <c r="A23" s="1" t="s">
        <v>96</v>
      </c>
      <c r="B23" s="6" t="s">
        <v>97</v>
      </c>
      <c r="C23" s="1">
        <v>229</v>
      </c>
      <c r="D23" s="1" t="s">
        <v>98</v>
      </c>
      <c r="E23" s="1">
        <v>1</v>
      </c>
      <c r="F23" s="1">
        <v>0</v>
      </c>
      <c r="G23" s="5" t="s">
        <v>99</v>
      </c>
      <c r="H23" s="1"/>
      <c r="I23">
        <f t="shared" si="4"/>
        <v>229</v>
      </c>
      <c r="J23">
        <f t="shared" si="5"/>
        <v>0</v>
      </c>
    </row>
    <row r="24" ht="42.75">
      <c r="A24" s="1" t="s">
        <v>100</v>
      </c>
      <c r="B24" s="1" t="s">
        <v>101</v>
      </c>
      <c r="C24" s="1">
        <v>65</v>
      </c>
      <c r="D24" s="1" t="s">
        <v>102</v>
      </c>
      <c r="E24" s="1">
        <v>1</v>
      </c>
      <c r="F24" s="1">
        <v>0</v>
      </c>
      <c r="G24" s="5" t="s">
        <v>103</v>
      </c>
      <c r="H24" s="1"/>
      <c r="I24">
        <f t="shared" si="4"/>
        <v>65</v>
      </c>
      <c r="J24">
        <f t="shared" si="5"/>
        <v>0</v>
      </c>
    </row>
    <row r="25" ht="99.75">
      <c r="A25" s="1" t="s">
        <v>104</v>
      </c>
      <c r="B25" s="6" t="s">
        <v>105</v>
      </c>
      <c r="C25" s="1">
        <v>52</v>
      </c>
      <c r="D25" s="1" t="s">
        <v>106</v>
      </c>
      <c r="E25" s="1">
        <v>7</v>
      </c>
      <c r="F25" s="1">
        <v>1</v>
      </c>
      <c r="G25" s="5" t="s">
        <v>107</v>
      </c>
      <c r="H25" s="1"/>
      <c r="I25">
        <f t="shared" si="4"/>
        <v>364</v>
      </c>
      <c r="J25">
        <f t="shared" si="5"/>
        <v>52</v>
      </c>
    </row>
    <row r="26" ht="71.25">
      <c r="A26" s="1" t="s">
        <v>108</v>
      </c>
      <c r="B26" s="1" t="s">
        <v>109</v>
      </c>
      <c r="C26" s="1">
        <v>42</v>
      </c>
      <c r="D26" s="1" t="s">
        <v>110</v>
      </c>
      <c r="E26" s="1">
        <v>1</v>
      </c>
      <c r="F26" s="1">
        <v>0</v>
      </c>
      <c r="G26" s="5" t="s">
        <v>111</v>
      </c>
      <c r="H26" s="5" t="s">
        <v>112</v>
      </c>
      <c r="I26">
        <f t="shared" si="4"/>
        <v>42</v>
      </c>
      <c r="J26">
        <f t="shared" si="5"/>
        <v>0</v>
      </c>
    </row>
    <row r="27" ht="57">
      <c r="A27" s="4" t="s">
        <v>113</v>
      </c>
      <c r="B27" s="1" t="s">
        <v>114</v>
      </c>
      <c r="C27" s="1">
        <v>19</v>
      </c>
      <c r="D27" s="1" t="s">
        <v>115</v>
      </c>
      <c r="E27" s="1">
        <v>1</v>
      </c>
      <c r="F27" s="1">
        <v>1</v>
      </c>
      <c r="G27" s="5" t="s">
        <v>116</v>
      </c>
      <c r="H27" s="1"/>
      <c r="I27">
        <f t="shared" si="4"/>
        <v>19</v>
      </c>
      <c r="J27">
        <f t="shared" si="5"/>
        <v>19</v>
      </c>
    </row>
    <row r="28" ht="71.25">
      <c r="A28" s="1" t="s">
        <v>117</v>
      </c>
      <c r="B28" s="1" t="s">
        <v>118</v>
      </c>
      <c r="C28" s="1">
        <v>730</v>
      </c>
      <c r="D28" s="1" t="s">
        <v>119</v>
      </c>
      <c r="E28" s="1">
        <v>1</v>
      </c>
      <c r="F28" s="1">
        <v>0</v>
      </c>
      <c r="G28" s="5" t="s">
        <v>120</v>
      </c>
      <c r="H28" s="5" t="s">
        <v>121</v>
      </c>
      <c r="I28">
        <f t="shared" si="4"/>
        <v>730</v>
      </c>
      <c r="J28">
        <f t="shared" si="5"/>
        <v>0</v>
      </c>
    </row>
    <row r="29" ht="57">
      <c r="A29" s="1" t="s">
        <v>122</v>
      </c>
      <c r="B29" s="1" t="s">
        <v>123</v>
      </c>
      <c r="C29" s="1">
        <v>572.29999999999995</v>
      </c>
      <c r="D29" s="1" t="s">
        <v>124</v>
      </c>
      <c r="E29" s="1">
        <v>1</v>
      </c>
      <c r="F29" s="1">
        <v>1</v>
      </c>
      <c r="G29" s="5" t="s">
        <v>125</v>
      </c>
      <c r="H29" s="5" t="s">
        <v>126</v>
      </c>
      <c r="I29">
        <f t="shared" si="4"/>
        <v>572.29999999999995</v>
      </c>
      <c r="J29">
        <f t="shared" si="5"/>
        <v>572.29999999999995</v>
      </c>
    </row>
    <row r="30" ht="57">
      <c r="A30" s="1" t="s">
        <v>127</v>
      </c>
      <c r="B30" s="1" t="s">
        <v>128</v>
      </c>
      <c r="C30" s="1">
        <v>0.20000000000000001</v>
      </c>
      <c r="D30" s="1" t="s">
        <v>129</v>
      </c>
      <c r="E30" s="1">
        <v>100</v>
      </c>
      <c r="F30" s="1">
        <v>100</v>
      </c>
      <c r="G30" s="5" t="s">
        <v>130</v>
      </c>
      <c r="H30" s="1"/>
      <c r="I30">
        <f t="shared" si="4"/>
        <v>20</v>
      </c>
      <c r="J30">
        <f t="shared" si="5"/>
        <v>20</v>
      </c>
    </row>
    <row r="31" ht="57">
      <c r="A31" s="1" t="s">
        <v>131</v>
      </c>
      <c r="B31" s="1" t="s">
        <v>132</v>
      </c>
      <c r="C31" s="1">
        <v>0.80000000000000004</v>
      </c>
      <c r="D31" s="1" t="s">
        <v>133</v>
      </c>
      <c r="E31" s="1">
        <v>100</v>
      </c>
      <c r="F31" s="1">
        <v>100</v>
      </c>
      <c r="G31" s="5" t="s">
        <v>134</v>
      </c>
      <c r="H31" s="1"/>
      <c r="I31">
        <f t="shared" si="4"/>
        <v>80</v>
      </c>
      <c r="J31">
        <f t="shared" si="5"/>
        <v>80</v>
      </c>
    </row>
    <row r="32" ht="42.75">
      <c r="A32" s="6" t="s">
        <v>135</v>
      </c>
      <c r="B32" s="1" t="s">
        <v>136</v>
      </c>
      <c r="C32" s="1">
        <v>6.3700000000000001</v>
      </c>
      <c r="D32" s="6" t="s">
        <v>137</v>
      </c>
      <c r="E32" s="1">
        <v>82</v>
      </c>
      <c r="F32" s="1">
        <v>10</v>
      </c>
      <c r="G32" s="5" t="s">
        <v>138</v>
      </c>
      <c r="H32" s="1"/>
      <c r="I32">
        <f t="shared" si="4"/>
        <v>522.34000000000003</v>
      </c>
      <c r="J32">
        <f t="shared" si="5"/>
        <v>63.700000000000003</v>
      </c>
    </row>
    <row r="33" ht="42.75">
      <c r="A33" s="1" t="s">
        <v>139</v>
      </c>
      <c r="B33" s="1" t="s">
        <v>140</v>
      </c>
      <c r="C33" s="1">
        <v>0.14999999999999999</v>
      </c>
      <c r="D33" s="1" t="s">
        <v>141</v>
      </c>
      <c r="E33" s="1">
        <v>100</v>
      </c>
      <c r="F33" s="1">
        <v>100</v>
      </c>
      <c r="G33" s="5" t="s">
        <v>142</v>
      </c>
      <c r="H33" s="1"/>
      <c r="I33">
        <f t="shared" si="4"/>
        <v>15</v>
      </c>
      <c r="J33">
        <f t="shared" si="5"/>
        <v>15</v>
      </c>
    </row>
    <row r="34" ht="42.75">
      <c r="A34" s="1" t="s">
        <v>143</v>
      </c>
      <c r="B34" s="1" t="s">
        <v>144</v>
      </c>
      <c r="C34" s="1">
        <v>1.6000000000000001</v>
      </c>
      <c r="E34" s="1">
        <v>10</v>
      </c>
      <c r="F34" s="1">
        <v>10</v>
      </c>
      <c r="G34" s="5" t="s">
        <v>145</v>
      </c>
      <c r="H34" s="1"/>
      <c r="I34">
        <f t="shared" si="4"/>
        <v>16</v>
      </c>
      <c r="J34">
        <f t="shared" si="5"/>
        <v>16</v>
      </c>
    </row>
    <row r="35" ht="71.25">
      <c r="A35" s="1" t="s">
        <v>146</v>
      </c>
      <c r="B35" s="1" t="s">
        <v>147</v>
      </c>
      <c r="C35" s="1">
        <v>99</v>
      </c>
      <c r="D35" s="1" t="s">
        <v>148</v>
      </c>
      <c r="E35" s="1">
        <v>12</v>
      </c>
      <c r="F35" s="1">
        <v>1</v>
      </c>
      <c r="G35" s="5" t="s">
        <v>149</v>
      </c>
      <c r="H35" s="1"/>
      <c r="I35">
        <f t="shared" si="4"/>
        <v>1188</v>
      </c>
      <c r="J35">
        <f t="shared" si="5"/>
        <v>99</v>
      </c>
    </row>
    <row r="36" ht="71.25">
      <c r="A36" s="1" t="s">
        <v>150</v>
      </c>
      <c r="B36" s="1" t="s">
        <v>151</v>
      </c>
      <c r="C36" s="1">
        <v>14</v>
      </c>
      <c r="D36" s="1" t="s">
        <v>152</v>
      </c>
      <c r="E36" s="1">
        <v>35</v>
      </c>
      <c r="F36" s="1">
        <v>8</v>
      </c>
      <c r="G36" s="5" t="s">
        <v>153</v>
      </c>
      <c r="H36" s="1"/>
      <c r="I36">
        <f t="shared" si="4"/>
        <v>490</v>
      </c>
      <c r="J36">
        <f t="shared" si="5"/>
        <v>112</v>
      </c>
    </row>
    <row r="37" ht="42.75">
      <c r="A37" s="4" t="s">
        <v>154</v>
      </c>
      <c r="B37" s="1" t="s">
        <v>155</v>
      </c>
      <c r="C37" s="1">
        <v>99</v>
      </c>
      <c r="D37" s="1" t="s">
        <v>156</v>
      </c>
      <c r="E37" s="1">
        <v>1</v>
      </c>
      <c r="F37" s="1">
        <v>1</v>
      </c>
      <c r="G37" s="5" t="s">
        <v>157</v>
      </c>
      <c r="H37" s="1"/>
      <c r="I37">
        <f t="shared" si="4"/>
        <v>99</v>
      </c>
      <c r="J37">
        <f t="shared" si="5"/>
        <v>99</v>
      </c>
    </row>
    <row r="38" ht="99.75">
      <c r="A38" s="1" t="s">
        <v>158</v>
      </c>
      <c r="B38" s="1" t="s">
        <v>159</v>
      </c>
      <c r="C38" s="1">
        <v>726</v>
      </c>
      <c r="D38" s="1" t="s">
        <v>160</v>
      </c>
      <c r="E38" s="1">
        <v>1</v>
      </c>
      <c r="F38" s="1">
        <v>1</v>
      </c>
      <c r="G38" s="5" t="s">
        <v>161</v>
      </c>
      <c r="H38" s="1"/>
      <c r="I38">
        <f t="shared" si="4"/>
        <v>726</v>
      </c>
      <c r="J38">
        <f t="shared" si="5"/>
        <v>726</v>
      </c>
    </row>
    <row r="39" ht="99.75">
      <c r="A39" s="1" t="s">
        <v>162</v>
      </c>
      <c r="B39" s="1" t="s">
        <v>163</v>
      </c>
      <c r="C39" s="1">
        <v>30</v>
      </c>
      <c r="D39" s="1" t="s">
        <v>164</v>
      </c>
      <c r="E39" s="1">
        <v>50</v>
      </c>
      <c r="F39" s="1">
        <v>7</v>
      </c>
      <c r="G39" s="5" t="s">
        <v>165</v>
      </c>
      <c r="H39" s="5" t="s">
        <v>166</v>
      </c>
      <c r="I39">
        <f t="shared" si="4"/>
        <v>1500</v>
      </c>
      <c r="J39">
        <f t="shared" si="5"/>
        <v>210</v>
      </c>
    </row>
    <row r="40" ht="57">
      <c r="A40" s="4" t="s">
        <v>167</v>
      </c>
      <c r="B40" s="1" t="s">
        <v>168</v>
      </c>
      <c r="C40" s="1">
        <v>6</v>
      </c>
      <c r="D40" s="1" t="s">
        <v>169</v>
      </c>
      <c r="E40" s="1"/>
      <c r="F40" s="1"/>
      <c r="G40" s="5" t="s">
        <v>170</v>
      </c>
      <c r="H40" s="5"/>
      <c r="I40">
        <f t="shared" si="4"/>
        <v>0</v>
      </c>
      <c r="J40">
        <f t="shared" si="5"/>
        <v>0</v>
      </c>
    </row>
    <row r="41" ht="57">
      <c r="A41" s="1" t="s">
        <v>171</v>
      </c>
      <c r="B41" s="1" t="s">
        <v>172</v>
      </c>
      <c r="C41" s="1">
        <v>5</v>
      </c>
      <c r="D41" s="1" t="s">
        <v>169</v>
      </c>
      <c r="E41" s="1"/>
      <c r="F41" s="1"/>
      <c r="G41" s="5" t="s">
        <v>173</v>
      </c>
      <c r="H41" s="5"/>
      <c r="I41">
        <f t="shared" si="4"/>
        <v>0</v>
      </c>
      <c r="J41">
        <f t="shared" si="5"/>
        <v>0</v>
      </c>
    </row>
    <row r="42" ht="42.75">
      <c r="A42" s="4" t="s">
        <v>174</v>
      </c>
      <c r="B42" s="1" t="s">
        <v>175</v>
      </c>
      <c r="C42" s="1">
        <v>8</v>
      </c>
      <c r="D42" s="1" t="s">
        <v>176</v>
      </c>
      <c r="E42" s="1">
        <v>7</v>
      </c>
      <c r="F42" s="1">
        <v>1</v>
      </c>
      <c r="G42" s="5" t="s">
        <v>177</v>
      </c>
      <c r="H42" s="5"/>
      <c r="I42">
        <f t="shared" si="4"/>
        <v>56</v>
      </c>
      <c r="J42">
        <f t="shared" si="5"/>
        <v>8</v>
      </c>
    </row>
    <row r="43" ht="57">
      <c r="A43" s="4" t="s">
        <v>178</v>
      </c>
      <c r="B43" s="4" t="s">
        <v>179</v>
      </c>
      <c r="C43" s="1">
        <v>7</v>
      </c>
      <c r="D43" s="1" t="s">
        <v>180</v>
      </c>
      <c r="E43" s="1">
        <v>7</v>
      </c>
      <c r="F43" s="1">
        <v>1</v>
      </c>
      <c r="G43" s="5" t="s">
        <v>181</v>
      </c>
      <c r="H43" s="5"/>
      <c r="I43" s="7"/>
      <c r="J43" s="7"/>
    </row>
    <row r="44" ht="14.25">
      <c r="A44" s="1" t="s">
        <v>182</v>
      </c>
      <c r="C44" s="1">
        <v>18</v>
      </c>
      <c r="E44" s="1">
        <v>100</v>
      </c>
      <c r="F44" s="1">
        <v>0</v>
      </c>
      <c r="I44">
        <f t="shared" si="4"/>
        <v>1800</v>
      </c>
      <c r="J44">
        <f t="shared" si="5"/>
        <v>0</v>
      </c>
    </row>
    <row r="45" ht="28.5">
      <c r="A45" s="1" t="s">
        <v>183</v>
      </c>
      <c r="C45" s="1">
        <v>1500</v>
      </c>
      <c r="E45" s="1">
        <v>2</v>
      </c>
      <c r="F45" s="1">
        <v>0</v>
      </c>
      <c r="I45">
        <f t="shared" si="4"/>
        <v>3000</v>
      </c>
      <c r="J45">
        <f t="shared" si="5"/>
        <v>0</v>
      </c>
    </row>
    <row r="46" ht="14.25">
      <c r="H46" s="1" t="s">
        <v>8</v>
      </c>
      <c r="I46">
        <f>ROUNDUP(SUM(I2:I45),0)</f>
        <v>25544</v>
      </c>
      <c r="J46">
        <f>ROUNDUP(SUM(J2:J45),0)</f>
        <v>4139</v>
      </c>
    </row>
  </sheetData>
  <hyperlinks>
    <hyperlink r:id="rId1" ref="G2"/>
    <hyperlink r:id="rId2" ref="G3"/>
    <hyperlink r:id="rId3" ref="G4"/>
    <hyperlink r:id="rId4" ref="G5"/>
    <hyperlink r:id="rId5" ref="H5"/>
    <hyperlink r:id="rId6" ref="G6"/>
    <hyperlink r:id="rId7" ref="G7"/>
    <hyperlink r:id="rId8" ref="H7"/>
    <hyperlink r:id="rId9" ref="G8"/>
    <hyperlink r:id="rId10" ref="G9"/>
    <hyperlink r:id="rId11" ref="G10"/>
    <hyperlink r:id="rId12" ref="G11"/>
    <hyperlink r:id="rId13" ref="G12"/>
    <hyperlink r:id="rId14" ref="G13"/>
    <hyperlink r:id="rId15" ref="G14"/>
    <hyperlink r:id="rId16" ref="G15"/>
    <hyperlink r:id="rId17" ref="H15"/>
    <hyperlink r:id="rId18" ref="G16"/>
    <hyperlink r:id="rId19" ref="G17"/>
    <hyperlink r:id="rId20" ref="G18"/>
    <hyperlink r:id="rId21" ref="G19"/>
    <hyperlink r:id="rId22" ref="G20"/>
    <hyperlink r:id="rId23" ref="G21"/>
    <hyperlink r:id="rId24" ref="G22"/>
    <hyperlink r:id="rId25" ref="G23"/>
    <hyperlink r:id="rId26" ref="G24"/>
    <hyperlink r:id="rId27" ref="G25"/>
    <hyperlink r:id="rId28" ref="G26"/>
    <hyperlink r:id="rId29" ref="H26"/>
    <hyperlink r:id="rId30" ref="G27"/>
    <hyperlink r:id="rId31" ref="G28"/>
    <hyperlink r:id="rId32" ref="H28"/>
    <hyperlink r:id="rId33" ref="G29"/>
    <hyperlink r:id="rId34" ref="H29"/>
    <hyperlink r:id="rId35" ref="G30"/>
    <hyperlink r:id="rId36" ref="G31"/>
    <hyperlink r:id="rId37" ref="G32"/>
    <hyperlink r:id="rId38" ref="G33"/>
    <hyperlink r:id="rId39" ref="G34"/>
    <hyperlink r:id="rId40" ref="G35"/>
    <hyperlink r:id="rId41" ref="G36"/>
    <hyperlink r:id="rId42" ref="G37"/>
    <hyperlink r:id="rId43" ref="G38"/>
    <hyperlink r:id="rId44" ref="G39"/>
    <hyperlink r:id="rId45" ref="H39"/>
    <hyperlink r:id="rId46" ref="G40"/>
    <hyperlink r:id="rId47" ref="G41"/>
    <hyperlink r:id="rId48" ref="G42"/>
    <hyperlink r:id="rId49" ref="G43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ONLYOFFICE/9.3.1.8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6</cp:revision>
  <dcterms:modified xsi:type="dcterms:W3CDTF">2026-07-07T17:01:57Z</dcterms:modified>
</cp:coreProperties>
</file>